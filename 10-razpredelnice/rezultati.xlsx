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anhr\Desktop\RP\10-razpredelnice\"/>
    </mc:Choice>
  </mc:AlternateContent>
  <xr:revisionPtr revIDLastSave="0" documentId="13_ncr:1_{D141D66E-E794-4837-AB7F-A3FFEE1D55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zult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K5" i="1"/>
  <c r="K3" i="1"/>
  <c r="J5" i="1"/>
  <c r="J3" i="1"/>
</calcChain>
</file>

<file path=xl/sharedStrings.xml><?xml version="1.0" encoding="utf-8"?>
<sst xmlns="http://schemas.openxmlformats.org/spreadsheetml/2006/main" count="124" uniqueCount="68">
  <si>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</si>
  <si>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</si>
  <si>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</si>
  <si>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</si>
  <si>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</si>
  <si>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</si>
  <si>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</si>
  <si>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</si>
  <si>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</si>
  <si>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</si>
  <si>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</si>
  <si>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</si>
  <si>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</si>
  <si>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</si>
  <si>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</si>
  <si>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</si>
  <si>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</si>
  <si>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</si>
  <si>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</si>
  <si>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</si>
  <si>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</si>
  <si>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</si>
  <si>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</si>
  <si>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</si>
  <si>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</si>
  <si>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</si>
  <si>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</si>
  <si>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</si>
  <si>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</si>
  <si>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</si>
  <si>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</si>
  <si>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</si>
  <si>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</si>
  <si>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</si>
  <si>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</si>
  <si>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</si>
  <si>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</si>
  <si>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</si>
  <si>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</si>
  <si>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</si>
  <si>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</si>
  <si>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</si>
  <si>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</si>
  <si>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</si>
  <si>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</si>
  <si>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</si>
  <si>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</si>
  <si>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</si>
  <si>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</si>
  <si>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</si>
  <si>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</si>
  <si>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</si>
  <si>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</si>
  <si>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</si>
  <si>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</si>
  <si>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</si>
  <si>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</si>
  <si>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</si>
  <si>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</si>
  <si>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</si>
  <si>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</si>
  <si>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</si>
  <si>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</si>
  <si>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</si>
  <si>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ne</t>
  </si>
  <si>
    <t>da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</si>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</sst>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C00000"/>
      </font>
    </dxf>
    <dxf>
      <font>
        <color rgb="FFC0000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numFmt numFmtId="2" formatCode="0.0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F5D-4CDA-B2DF-7AE46AE31163}"/>
              </c:ext>
            </c:extLst>
          </c:dPt>
          <c:dPt>
            <c:idx val="1"/>
            <c:bubble3D val="0"/>
            <c:explosion val="2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F5D-4CDA-B2DF-7AE46AE31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F5D-4CDA-B2DF-7AE46AE31163}"/>
              </c:ext>
            </c:extLst>
          </c:dPt>
          <c:dLbls>
            <c:dLbl>
              <c:idx val="0"/>
              <c:layout>
                <c:manualLayout>
                  <c:x val="-1.4999565156309583E-2"/>
                  <c:y val="-5.65973357103946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5D-4CDA-B2DF-7AE46AE31163}"/>
                </c:ext>
              </c:extLst>
            </c:dLbl>
            <c:dLbl>
              <c:idx val="1"/>
              <c:layout>
                <c:manualLayout>
                  <c:x val="-3.4077830330681902E-2"/>
                  <c:y val="-4.7797256475016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5D-4CDA-B2DF-7AE46AE31163}"/>
                </c:ext>
              </c:extLst>
            </c:dLbl>
            <c:dLbl>
              <c:idx val="2"/>
              <c:layout>
                <c:manualLayout>
                  <c:x val="2.9779166304296924E-2"/>
                  <c:y val="-4.4620413014410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F5D-4CDA-B2DF-7AE46AE311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'Rezultati'!$I$3:$I$5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D-4CDA-B2DF-7AE46AE31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'Rezultati'!$K$2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'Rezultati'!$I$3:$I$5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0A-496D-A01E-EA6EFBFF5FD5}"/>
            </c:ext>
          </c:extLst>
        </c:ser>
        <c:ser>
          <c:idx val="2"/>
          <c:order val="1"/>
          <c:tx>
            <c:strRef>
              <c:f>'Rezultati'!$L$2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'Rezultati'!$I$3:$I$5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'Rezultati'!$L$3:$L$5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0A-496D-A01E-EA6EFBFF5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874976"/>
        <c:axId val="1085348576"/>
      </c:barChart>
      <c:catAx>
        <c:axId val="94287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085348576"/>
        <c:crosses val="autoZero"/>
        <c:auto val="1"/>
        <c:lblAlgn val="ctr"/>
        <c:lblOffset val="100"/>
        <c:noMultiLvlLbl val="0"/>
      </c:catAx>
      <c:valAx>
        <c:axId val="10853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94287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511175</xdr:colOff>
      <xdr:row>6</xdr:row>
      <xdr:rowOff>12700</xdr:rowOff>
    </xdr:from>
    <xdr:to>
      <xdr:col>13</xdr:col>
      <xdr:colOff>552450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60862-DF72-8D61-A1A9-272F32897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390525</xdr:colOff>
      <xdr:row>17</xdr:row>
      <xdr:rowOff>107950</xdr:rowOff>
    </xdr:from>
    <xdr:to>
      <xdr:col>15</xdr:col>
      <xdr:colOff>34925</xdr:colOff>
      <xdr:row>32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67DDE3-06B0-67E7-69A3-492C40E9F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 dataDxfId="9"/>
    <tableColumn id="5" xr3:uid="{A572DA5B-37ED-FF49-A08A-839E55F45206}" name="Opravil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I2:L5" totalsRowShown="0">
  <autoFilter ref="I2:L5" xr:uid="{BAD53C94-4DD0-B043-8002-9273766F5DC7}"/>
  <tableColumns count="4">
    <tableColumn id="1" xr3:uid="{26F1C940-A3E1-AA4A-B91A-EA859D7A62AD}" name="Test"/>
    <tableColumn id="2" xr3:uid="{EA7356A2-0D38-5D42-A1AC-E30DC5D5C796}" name="Udeležba"/>
    <tableColumn id="3" xr3:uid="{49F9352C-9597-4E44-8122-AF1CE6CE856F}" name="2022"/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topLeftCell="A10" workbookViewId="0">
      <selection activeCell="H9" sqref="H9"/>
    </sheetView>
  </sheetViews>
  <sheetFormatPr defaultColWidth="8.81640625" defaultRowHeight="14.5" x14ac:dyDescent="0.35"/>
  <cols>
    <col min="1" max="1" width="4.453125" customWidth="1"/>
    <col min="2" max="2" width="10" bestFit="1" customWidth="1"/>
    <col min="3" max="3" width="9.36328125" bestFit="1" customWidth="1"/>
    <col min="4" max="4" width="9.6328125" bestFit="1" customWidth="1"/>
    <col min="5" max="5" width="8.1796875" bestFit="1" customWidth="1"/>
    <col min="6" max="6" width="9.1796875" bestFit="1" customWidth="1"/>
    <col min="7" max="7" width="9.1796875" customWidth="1"/>
    <col min="9" max="9" width="6.81640625" bestFit="1" customWidth="1"/>
    <col min="10" max="10" width="10.81640625" bestFit="1" customWidth="1"/>
    <col min="11" max="11" width="11.1796875" bestFit="1" customWidth="1"/>
    <col min="12" max="13" width="7.6328125" bestFit="1" customWidth="1"/>
  </cols>
  <sheetData>
    <row r="2" spans="2:12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I2" t="s">
        <v>5</v>
      </c>
      <c r="J2" t="s">
        <v>6</v>
      </c>
      <c r="K2" t="s">
        <v>67</v>
      </c>
      <c r="L2" t="s">
        <v>66</v>
      </c>
    </row>
    <row r="3" spans="2:12" x14ac:dyDescent="0.35">
      <c r="B3" t="s">
        <v>62</v>
      </c>
      <c r="C3" t="s">
        <v>63</v>
      </c>
      <c r="D3" t="s">
        <v>12</v>
      </c>
      <c r="E3" s="1">
        <v>38</v>
      </c>
      <c r="F3" t="s">
        <v>64</v>
      </c>
      <c r="I3" t="s">
        <v>9</v>
      </c>
      <c r="J3">
        <f>COUNTIF(Rezultati[Skupina], "A")</f>
        <v>9</v>
      </c>
      <c r="K3" s="1">
        <f>AVERAGEIF(Rezultati[Skupina], "A",Rezultati[Točke])</f>
        <v>58.222222222222221</v>
      </c>
      <c r="L3">
        <v>66.84</v>
      </c>
    </row>
    <row r="4" spans="2:12" x14ac:dyDescent="0.35">
      <c r="B4" t="s">
        <v>34</v>
      </c>
      <c r="C4" t="s">
        <v>35</v>
      </c>
      <c r="D4" t="s">
        <v>12</v>
      </c>
      <c r="E4" s="1">
        <v>39</v>
      </c>
      <c r="F4" t="s">
        <v>64</v>
      </c>
      <c r="I4" t="s">
        <v>12</v>
      </c>
      <c r="J4">
        <f>COUNTIF(Rezultati[Skupina], "B")</f>
        <v>12</v>
      </c>
      <c r="K4" s="1">
        <f>AVERAGEIF(Rezultati[Skupina], "B",Rezultati[Točke])</f>
        <v>66.5</v>
      </c>
      <c r="L4">
        <v>52.35</v>
      </c>
    </row>
    <row r="5" spans="2:12" x14ac:dyDescent="0.35">
      <c r="B5" t="s">
        <v>7</v>
      </c>
      <c r="C5" t="s">
        <v>36</v>
      </c>
      <c r="D5" t="s">
        <v>12</v>
      </c>
      <c r="E5" s="1">
        <v>36</v>
      </c>
      <c r="F5" t="s">
        <v>64</v>
      </c>
      <c r="I5" t="s">
        <v>15</v>
      </c>
      <c r="J5">
        <f>COUNTIF(Rezultati[Skupina], "C")</f>
        <v>7</v>
      </c>
      <c r="K5" s="1">
        <f>AVERAGEIF(Rezultati[Skupina], "C",Rezultati[Točke])</f>
        <v>47.714285714285715</v>
      </c>
      <c r="L5">
        <v>49.66</v>
      </c>
    </row>
    <row r="6" spans="2:12" x14ac:dyDescent="0.35">
      <c r="B6" t="s">
        <v>7</v>
      </c>
      <c r="C6" t="s">
        <v>8</v>
      </c>
      <c r="D6" t="s">
        <v>9</v>
      </c>
      <c r="E6" s="1">
        <v>93</v>
      </c>
      <c r="F6" t="s">
        <v>65</v>
      </c>
    </row>
    <row r="7" spans="2:12" x14ac:dyDescent="0.35">
      <c r="B7" t="s">
        <v>37</v>
      </c>
      <c r="C7" t="s">
        <v>38</v>
      </c>
      <c r="D7" t="s">
        <v>9</v>
      </c>
      <c r="E7" s="1">
        <v>77</v>
      </c>
      <c r="F7" t="s">
        <v>65</v>
      </c>
    </row>
    <row r="8" spans="2:12" x14ac:dyDescent="0.35">
      <c r="B8" t="s">
        <v>39</v>
      </c>
      <c r="C8" t="s">
        <v>40</v>
      </c>
      <c r="D8" t="s">
        <v>12</v>
      </c>
      <c r="E8" s="1">
        <v>100</v>
      </c>
      <c r="F8" t="s">
        <v>65</v>
      </c>
    </row>
    <row r="9" spans="2:12" x14ac:dyDescent="0.35">
      <c r="B9" t="s">
        <v>10</v>
      </c>
      <c r="C9" t="s">
        <v>11</v>
      </c>
      <c r="D9" t="s">
        <v>9</v>
      </c>
      <c r="E9" s="1">
        <v>94</v>
      </c>
      <c r="F9" t="s">
        <v>65</v>
      </c>
    </row>
    <row r="10" spans="2:12" x14ac:dyDescent="0.35">
      <c r="B10" t="s">
        <v>41</v>
      </c>
      <c r="C10" t="s">
        <v>42</v>
      </c>
      <c r="D10" t="s">
        <v>15</v>
      </c>
      <c r="E10" s="1">
        <v>26</v>
      </c>
      <c r="F10" t="s">
        <v>64</v>
      </c>
    </row>
    <row r="11" spans="2:12" x14ac:dyDescent="0.35">
      <c r="B11" t="s">
        <v>13</v>
      </c>
      <c r="C11" t="s">
        <v>14</v>
      </c>
      <c r="D11" t="s">
        <v>12</v>
      </c>
      <c r="E11" s="1">
        <v>44</v>
      </c>
      <c r="F11" t="s">
        <v>64</v>
      </c>
    </row>
    <row r="12" spans="2:12" x14ac:dyDescent="0.35">
      <c r="B12" t="s">
        <v>16</v>
      </c>
      <c r="C12" t="s">
        <v>17</v>
      </c>
      <c r="D12" t="s">
        <v>15</v>
      </c>
      <c r="E12" s="1">
        <v>34</v>
      </c>
      <c r="F12" t="s">
        <v>64</v>
      </c>
    </row>
    <row r="13" spans="2:12" x14ac:dyDescent="0.35">
      <c r="B13" t="s">
        <v>43</v>
      </c>
      <c r="C13" t="s">
        <v>44</v>
      </c>
      <c r="D13" t="s">
        <v>12</v>
      </c>
      <c r="E13" s="1">
        <v>86</v>
      </c>
      <c r="F13" t="s">
        <v>65</v>
      </c>
    </row>
    <row r="14" spans="2:12" x14ac:dyDescent="0.35">
      <c r="B14" t="s">
        <v>45</v>
      </c>
      <c r="C14" t="s">
        <v>46</v>
      </c>
      <c r="D14" t="s">
        <v>12</v>
      </c>
      <c r="E14" s="1">
        <v>90</v>
      </c>
      <c r="F14" t="s">
        <v>65</v>
      </c>
    </row>
    <row r="15" spans="2:12" x14ac:dyDescent="0.35">
      <c r="B15" t="s">
        <v>18</v>
      </c>
      <c r="C15" t="s">
        <v>19</v>
      </c>
      <c r="D15" t="s">
        <v>12</v>
      </c>
      <c r="E15" s="1">
        <v>67</v>
      </c>
      <c r="F15" t="s">
        <v>65</v>
      </c>
    </row>
    <row r="16" spans="2:12" x14ac:dyDescent="0.35">
      <c r="B16" t="s">
        <v>20</v>
      </c>
      <c r="C16" t="s">
        <v>21</v>
      </c>
      <c r="D16" t="s">
        <v>9</v>
      </c>
      <c r="E16" s="1">
        <v>42</v>
      </c>
      <c r="F16" t="s">
        <v>64</v>
      </c>
    </row>
    <row r="17" spans="2:6" x14ac:dyDescent="0.35">
      <c r="B17" t="s">
        <v>47</v>
      </c>
      <c r="C17" t="s">
        <v>48</v>
      </c>
      <c r="D17" t="s">
        <v>15</v>
      </c>
      <c r="E17" s="1">
        <v>44</v>
      </c>
      <c r="F17" t="s">
        <v>64</v>
      </c>
    </row>
    <row r="18" spans="2:6" x14ac:dyDescent="0.35">
      <c r="B18" t="s">
        <v>22</v>
      </c>
      <c r="C18" t="s">
        <v>23</v>
      </c>
      <c r="D18" t="s">
        <v>12</v>
      </c>
      <c r="E18" s="1">
        <v>64</v>
      </c>
      <c r="F18" t="s">
        <v>65</v>
      </c>
    </row>
    <row r="19" spans="2:6" x14ac:dyDescent="0.35">
      <c r="B19" t="s">
        <v>24</v>
      </c>
      <c r="C19" t="s">
        <v>25</v>
      </c>
      <c r="D19" t="s">
        <v>15</v>
      </c>
      <c r="E19" s="1">
        <v>30</v>
      </c>
      <c r="F19" t="s">
        <v>64</v>
      </c>
    </row>
    <row r="20" spans="2:6" x14ac:dyDescent="0.35">
      <c r="B20" t="s">
        <v>49</v>
      </c>
      <c r="C20" t="s">
        <v>29</v>
      </c>
      <c r="D20" t="s">
        <v>9</v>
      </c>
      <c r="E20" s="1">
        <v>57</v>
      </c>
      <c r="F20" t="s">
        <v>65</v>
      </c>
    </row>
    <row r="21" spans="2:6" x14ac:dyDescent="0.35">
      <c r="B21" t="s">
        <v>50</v>
      </c>
      <c r="C21" t="s">
        <v>51</v>
      </c>
      <c r="D21" t="s">
        <v>9</v>
      </c>
      <c r="E21" s="1">
        <v>43</v>
      </c>
      <c r="F21" t="s">
        <v>64</v>
      </c>
    </row>
    <row r="22" spans="2:6" x14ac:dyDescent="0.35">
      <c r="B22" t="s">
        <v>60</v>
      </c>
      <c r="C22" t="s">
        <v>61</v>
      </c>
      <c r="D22" t="s">
        <v>9</v>
      </c>
      <c r="E22" s="1">
        <v>38</v>
      </c>
      <c r="F22" t="s">
        <v>64</v>
      </c>
    </row>
    <row r="23" spans="2:6" x14ac:dyDescent="0.35">
      <c r="B23" t="s">
        <v>52</v>
      </c>
      <c r="C23" t="s">
        <v>53</v>
      </c>
      <c r="D23" t="s">
        <v>12</v>
      </c>
      <c r="E23" s="1">
        <v>85</v>
      </c>
      <c r="F23" t="s">
        <v>65</v>
      </c>
    </row>
    <row r="24" spans="2:6" x14ac:dyDescent="0.35">
      <c r="B24" t="s">
        <v>54</v>
      </c>
      <c r="C24" t="s">
        <v>55</v>
      </c>
      <c r="D24" t="s">
        <v>15</v>
      </c>
      <c r="E24" s="1">
        <v>76</v>
      </c>
      <c r="F24" t="s">
        <v>65</v>
      </c>
    </row>
    <row r="25" spans="2:6" x14ac:dyDescent="0.35">
      <c r="B25" t="s">
        <v>56</v>
      </c>
      <c r="C25" t="s">
        <v>57</v>
      </c>
      <c r="D25" t="s">
        <v>9</v>
      </c>
      <c r="E25" s="1">
        <v>34</v>
      </c>
      <c r="F25" t="s">
        <v>64</v>
      </c>
    </row>
    <row r="26" spans="2:6" x14ac:dyDescent="0.35">
      <c r="B26" t="s">
        <v>58</v>
      </c>
      <c r="C26" t="s">
        <v>59</v>
      </c>
      <c r="D26" t="s">
        <v>12</v>
      </c>
      <c r="E26" s="1">
        <v>79</v>
      </c>
      <c r="F26" t="s">
        <v>65</v>
      </c>
    </row>
    <row r="27" spans="2:6" x14ac:dyDescent="0.35">
      <c r="B27" t="s">
        <v>26</v>
      </c>
      <c r="C27" t="s">
        <v>27</v>
      </c>
      <c r="D27" t="s">
        <v>12</v>
      </c>
      <c r="E27" s="1">
        <v>70</v>
      </c>
      <c r="F27" t="s">
        <v>65</v>
      </c>
    </row>
    <row r="28" spans="2:6" x14ac:dyDescent="0.35">
      <c r="B28" t="s">
        <v>30</v>
      </c>
      <c r="C28" t="s">
        <v>31</v>
      </c>
      <c r="D28" t="s">
        <v>15</v>
      </c>
      <c r="E28" s="1">
        <v>66</v>
      </c>
      <c r="F28" t="s">
        <v>65</v>
      </c>
    </row>
    <row r="29" spans="2:6" x14ac:dyDescent="0.35">
      <c r="B29" t="s">
        <v>28</v>
      </c>
      <c r="C29" t="s">
        <v>29</v>
      </c>
      <c r="D29" t="s">
        <v>15</v>
      </c>
      <c r="E29" s="1">
        <v>58</v>
      </c>
      <c r="F29" t="s">
        <v>65</v>
      </c>
    </row>
    <row r="30" spans="2:6" x14ac:dyDescent="0.35">
      <c r="B30" t="s">
        <v>32</v>
      </c>
      <c r="C30" t="s">
        <v>33</v>
      </c>
      <c r="D30" t="s">
        <v>9</v>
      </c>
      <c r="E30" s="1">
        <v>46</v>
      </c>
      <c r="F30" t="s">
        <v>64</v>
      </c>
    </row>
  </sheetData>
  <conditionalFormatting sqref="E3">
    <cfRule type="cellIs" priority="9" operator="lessThan">
      <formula>"50+$B$3:$F$30"</formula>
    </cfRule>
  </conditionalFormatting>
  <conditionalFormatting sqref="F3:F30">
    <cfRule type="containsText" dxfId="15" priority="10" operator="containsText" text="ne">
      <formula>NOT(ISERROR(SEARCH("ne",F3)))</formula>
    </cfRule>
  </conditionalFormatting>
  <conditionalFormatting sqref="B3:F30">
    <cfRule type="expression" dxfId="4" priority="8">
      <formula>$E2="ne"</formula>
    </cfRule>
    <cfRule type="expression" dxfId="3" priority="7">
      <formula>"$E3&lt;50"</formula>
    </cfRule>
    <cfRule type="expression" dxfId="2" priority="5">
      <formula>"$E3&lt;50"</formula>
    </cfRule>
  </conditionalFormatting>
  <conditionalFormatting sqref="B3:F3">
    <cfRule type="expression" dxfId="7" priority="6">
      <formula>"$E3&lt;50"</formula>
    </cfRule>
    <cfRule type="expression" dxfId="6" priority="3">
      <formula>"$E3&lt;50"</formula>
    </cfRule>
  </conditionalFormatting>
  <conditionalFormatting sqref="B2:F30">
    <cfRule type="expression" dxfId="8" priority="4">
      <formula>"$E3&lt;50"</formula>
    </cfRule>
  </conditionalFormatting>
  <conditionalFormatting sqref="E3:E30">
    <cfRule type="expression" dxfId="1" priority="2">
      <formula>$E3&lt;50</formula>
    </cfRule>
  </conditionalFormatting>
  <conditionalFormatting sqref="B3:C30">
    <cfRule type="expression" dxfId="0" priority="1">
      <formula>$E3&lt;50</formula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Hrovat, Jan</cp:lastModifiedBy>
  <dcterms:created xsi:type="dcterms:W3CDTF">2007-11-10T02:36:44Z</dcterms:created>
  <dcterms:modified xsi:type="dcterms:W3CDTF">2025-11-20T12:28:26Z</dcterms:modified>
</cp:coreProperties>
</file>