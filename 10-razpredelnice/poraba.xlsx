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anhr\Desktop\RP\10-razpredelnice\"/>
    </mc:Choice>
  </mc:AlternateContent>
  <xr:revisionPtr revIDLastSave="0" documentId="13_ncr:1_{84EDDE6F-5E44-452D-9711-D56FD96C93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aba" sheetId="4" r:id="rId1"/>
  </sheets>
  <definedNames>
    <definedName name="ExternalData_1" localSheetId="0" hidden="1">Poraba!$B$2:$G$22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4" l="1"/>
  <c r="G25" i="4"/>
  <c r="F25" i="4"/>
  <c r="E25" i="4"/>
  <c r="D25" i="4"/>
  <c r="C25" i="4"/>
  <c r="H24" i="4"/>
  <c r="G24" i="4"/>
  <c r="F24" i="4"/>
  <c r="E24" i="4"/>
  <c r="D24" i="4"/>
  <c r="C24" i="4"/>
  <c r="H22" i="4"/>
  <c r="H5" i="4"/>
  <c r="H17" i="4"/>
  <c r="H18" i="4"/>
  <c r="H19" i="4"/>
  <c r="H20" i="4"/>
  <c r="H21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4" i="4"/>
  <c r="D3" i="4"/>
  <c r="F6" i="4"/>
  <c r="G6" i="4" s="1"/>
  <c r="H6" i="4" s="1"/>
  <c r="F7" i="4"/>
  <c r="G7" i="4" s="1"/>
  <c r="H7" i="4" s="1"/>
  <c r="F8" i="4"/>
  <c r="G8" i="4" s="1"/>
  <c r="H8" i="4" s="1"/>
  <c r="F9" i="4"/>
  <c r="G9" i="4" s="1"/>
  <c r="H9" i="4" s="1"/>
  <c r="F10" i="4"/>
  <c r="G10" i="4" s="1"/>
  <c r="H10" i="4" s="1"/>
  <c r="F11" i="4"/>
  <c r="G11" i="4" s="1"/>
  <c r="H11" i="4" s="1"/>
  <c r="F12" i="4"/>
  <c r="G12" i="4" s="1"/>
  <c r="H12" i="4" s="1"/>
  <c r="F13" i="4"/>
  <c r="G13" i="4" s="1"/>
  <c r="H13" i="4" s="1"/>
  <c r="F14" i="4"/>
  <c r="G14" i="4" s="1"/>
  <c r="H14" i="4" s="1"/>
  <c r="F15" i="4"/>
  <c r="G15" i="4" s="1"/>
  <c r="H15" i="4" s="1"/>
  <c r="F16" i="4"/>
  <c r="G16" i="4" s="1"/>
  <c r="H16" i="4" s="1"/>
  <c r="F17" i="4"/>
  <c r="G17" i="4" s="1"/>
  <c r="F18" i="4"/>
  <c r="G18" i="4" s="1"/>
  <c r="F19" i="4"/>
  <c r="G19" i="4" s="1"/>
  <c r="F20" i="4"/>
  <c r="G20" i="4" s="1"/>
  <c r="F21" i="4"/>
  <c r="G21" i="4" s="1"/>
  <c r="F5" i="4"/>
  <c r="G5" i="4" s="1"/>
  <c r="F4" i="4"/>
  <c r="G4" i="4" s="1"/>
  <c r="H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<sst xmlns="http://schemas.openxmlformats.org/spreadsheetml/2006/main" count="21" uniqueCount="20">
  <si>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</si>
  <si>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</si>
  <si>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</si>
  <si>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</si>
  <si>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</si>
  <si>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</si>
  <si>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</si>
  <si>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</si>
  <si>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</si>
  <si>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</si>
  <si>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Mesec</t>
  </si>
  <si>
    <t>May</t>
  </si>
  <si>
    <t>Jun</t>
  </si>
  <si>
    <t>Jul</t>
  </si>
  <si>
    <t>Aug</t>
  </si>
  <si>
    <t>Sep</t>
  </si>
  <si>
    <t>Oct</t>
  </si>
  <si>
    <t>Vrednosti</t>
  </si>
  <si>
    <t>Skupaj km</t>
  </si>
  <si>
    <t>Povprečna poraba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</si>
</sst>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€/l&quot;"/>
  </numFmts>
  <fonts count="2" x14ac:knownFonts="1">
    <font>
      <sz val="11"/>
      <color theme="1"/>
      <name val="Calibri"/>
      <family val="2"/>
      <charset val="238"/>
      <scheme val="minor"/>
    </font>
    <font>
      <sz val="9.9"/>
      <color rgb="FF61616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0" fillId="0" borderId="0" xfId="0" applyNumberFormat="1"/>
    <xf numFmtId="0" fontId="0" fillId="0" borderId="0" xfId="0" applyNumberFormat="1" applyFill="1"/>
  </cellXfs>
  <cellStyles count="1">
    <cellStyle name="Normal" xfId="0" builtinId="0"/>
  </cellStyles>
  <dxfs count="12">
    <dxf>
      <numFmt numFmtId="2" formatCode="0.00"/>
    </dxf>
    <dxf>
      <numFmt numFmtId="0" formatCode="General"/>
    </dxf>
    <dxf>
      <numFmt numFmtId="2" formatCode="0.0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2" tableType="queryTable" totalsRowShown="0">
  <autoFilter ref="B2:H22" xr:uid="{4B308AD5-65CF-A249-80D4-A2A1301BDB4E}"/>
  <tableColumns count="7">
    <tableColumn id="1" xr3:uid="{E4C5B71E-FC31-5C41-A064-103F27749A97}" uniqueName="1" name="Datum" queryTableFieldId="1" dataDxfId="3"/>
    <tableColumn id="2" xr3:uid="{6DC2697C-FCB3-8A47-945B-8CD05834AA8C}" uniqueName="2" name="Litri" queryTableFieldId="2" dataDxfId="2"/>
    <tableColumn id="3" xr3:uid="{19DBC541-3ADF-4E48-8786-6E42DA219788}" uniqueName="3" name="Plačano" queryTableFieldId="3" dataDxfId="0"/>
    <tableColumn id="4" xr3:uid="{3238A9AD-2FC0-0E49-9EE3-7019C05B366B}" uniqueName="4" name="Števec" queryTableFieldId="4" dataDxfId="1"/>
    <tableColumn id="5" xr3:uid="{E0B5480D-9C8F-CA4C-941D-AE9FDE0CDFDC}" uniqueName="5" name="Prevoženo" queryTableFieldId="5" dataDxfId="11"/>
    <tableColumn id="6" xr3:uid="{1DEAFC6B-8470-6742-BAB3-957B7429D133}" uniqueName="6" name="Poraba" queryTableFieldId="6" dataDxfId="10"/>
    <tableColumn id="11" xr3:uid="{911769A8-5CFE-8245-A64B-38797D90A3B5}" uniqueName="11" name="Prikaz" queryTableFieldId="11" dataDxfId="9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8" tableBorderDxfId="7" totalsRowBorderDxfId="6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5"/>
    <tableColumn id="2" xr3:uid="{079EA12A-47EB-F54A-8E37-30D8BCE75150}" name="Bencin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9"/>
  <sheetViews>
    <sheetView tabSelected="1" topLeftCell="A14" zoomScale="120" zoomScaleNormal="120" workbookViewId="0">
      <selection activeCell="B22" sqref="B22:H25"/>
    </sheetView>
  </sheetViews>
  <sheetFormatPr defaultColWidth="10.90625" defaultRowHeight="14.5" x14ac:dyDescent="0.35"/>
  <cols>
    <col min="1" max="1" width="3.81640625" customWidth="1"/>
    <col min="2" max="2" width="12.453125" customWidth="1"/>
    <col min="3" max="3" width="6.81640625" bestFit="1" customWidth="1"/>
    <col min="4" max="4" width="9.6328125" bestFit="1" customWidth="1"/>
    <col min="5" max="5" width="8.6328125" bestFit="1" customWidth="1"/>
    <col min="6" max="6" width="11.6328125" bestFit="1" customWidth="1"/>
    <col min="7" max="7" width="9" bestFit="1" customWidth="1"/>
    <col min="8" max="8" width="16.1796875" customWidth="1"/>
    <col min="9" max="9" width="3.36328125" customWidth="1"/>
    <col min="10" max="10" width="11.81640625" bestFit="1" customWidth="1"/>
    <col min="11" max="11" width="10.6328125" bestFit="1" customWidth="1"/>
  </cols>
  <sheetData>
    <row r="2" spans="2:11" x14ac:dyDescent="0.3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35">
      <c r="B3" s="1">
        <v>45051</v>
      </c>
      <c r="C3" s="3">
        <v>41.17</v>
      </c>
      <c r="D3" s="3">
        <f>INDEX(Table3[Bencin], MATCH(realna_poraba_cupra__2[[#This Row],[Datum]],Table3[Veljavnost],1)) * realna_poraba_cupra__2[[#This Row],[Litri]]</f>
        <v>58.296720000000001</v>
      </c>
      <c r="E3" s="2">
        <v>41907</v>
      </c>
      <c r="F3" t="s">
        <v>4</v>
      </c>
      <c r="G3" t="s">
        <v>4</v>
      </c>
      <c r="J3" s="1">
        <v>44930</v>
      </c>
      <c r="K3" s="4">
        <v>1.276</v>
      </c>
    </row>
    <row r="4" spans="2:11" x14ac:dyDescent="0.35">
      <c r="B4" s="1">
        <v>45059</v>
      </c>
      <c r="C4" s="3">
        <v>43.02</v>
      </c>
      <c r="D4" s="3">
        <f>INDEX(Table3[Bencin], MATCH(realna_poraba_cupra__2[[#This Row],[Datum]],Table3[Veljavnost],1)) * realna_poraba_cupra__2[[#This Row],[Litri]]</f>
        <v>59.797800000000002</v>
      </c>
      <c r="E4" s="2">
        <v>42521</v>
      </c>
      <c r="F4" s="2">
        <f>realna_poraba_cupra__2[[#This Row],[Števec]]-$E3</f>
        <v>614</v>
      </c>
      <c r="G4" s="3">
        <f xml:space="preserve"> 100 * (realna_poraba_cupra__2[[#This Row],[Litri]]/realna_poraba_cupra__2[[#This Row],[Prevoženo]])</f>
        <v>7.006514657980456</v>
      </c>
      <c r="H4" s="3">
        <f>realna_poraba_cupra__2[[#This Row],[Poraba]]</f>
        <v>7.006514657980456</v>
      </c>
      <c r="J4" s="1">
        <v>44943</v>
      </c>
      <c r="K4" s="4">
        <v>1.288</v>
      </c>
    </row>
    <row r="5" spans="2:11" x14ac:dyDescent="0.35">
      <c r="B5" s="1">
        <v>45068</v>
      </c>
      <c r="C5" s="3">
        <v>41.67</v>
      </c>
      <c r="D5" s="3">
        <f>INDEX(Table3[Bencin], MATCH(realna_poraba_cupra__2[[#This Row],[Datum]],Table3[Veljavnost],1)) * realna_poraba_cupra__2[[#This Row],[Litri]]</f>
        <v>57.921299999999995</v>
      </c>
      <c r="E5" s="2">
        <v>43181</v>
      </c>
      <c r="F5" s="2">
        <f>realna_poraba_cupra__2[[#This Row],[Števec]]-$E4</f>
        <v>660</v>
      </c>
      <c r="G5" s="3">
        <f xml:space="preserve"> 100 * (realna_poraba_cupra__2[[#This Row],[Litri]]/realna_poraba_cupra__2[[#This Row],[Prevoženo]])</f>
        <v>6.3136363636363644</v>
      </c>
      <c r="H5" s="3">
        <f>realna_poraba_cupra__2[[#This Row],[Poraba]]</f>
        <v>6.3136363636363644</v>
      </c>
      <c r="J5" s="1">
        <v>44957</v>
      </c>
      <c r="K5" s="4">
        <v>1.355</v>
      </c>
    </row>
    <row r="6" spans="2:11" x14ac:dyDescent="0.35">
      <c r="B6" s="1">
        <v>45073</v>
      </c>
      <c r="C6" s="3">
        <v>34.04</v>
      </c>
      <c r="D6" s="3">
        <f>INDEX(Table3[Bencin], MATCH(realna_poraba_cupra__2[[#This Row],[Datum]],Table3[Veljavnost],1)) * realna_poraba_cupra__2[[#This Row],[Litri]]</f>
        <v>47.043279999999996</v>
      </c>
      <c r="E6" s="2">
        <v>43696</v>
      </c>
      <c r="F6" s="2">
        <f>realna_poraba_cupra__2[[#This Row],[Števec]]-$E5</f>
        <v>515</v>
      </c>
      <c r="G6" s="3">
        <f xml:space="preserve"> 100 * (realna_poraba_cupra__2[[#This Row],[Litri]]/realna_poraba_cupra__2[[#This Row],[Prevoženo]])</f>
        <v>6.6097087378640769</v>
      </c>
      <c r="H6" s="3">
        <f>realna_poraba_cupra__2[[#This Row],[Poraba]]</f>
        <v>6.6097087378640769</v>
      </c>
      <c r="J6" s="1">
        <v>44971</v>
      </c>
      <c r="K6" s="4">
        <v>1.355</v>
      </c>
    </row>
    <row r="7" spans="2:11" x14ac:dyDescent="0.35">
      <c r="B7" s="1">
        <v>45085</v>
      </c>
      <c r="C7" s="3">
        <v>42.42</v>
      </c>
      <c r="D7" s="3">
        <f>INDEX(Table3[Bencin], MATCH(realna_poraba_cupra__2[[#This Row],[Datum]],Table3[Veljavnost],1)) * realna_poraba_cupra__2[[#This Row],[Litri]]</f>
        <v>59.897039999999997</v>
      </c>
      <c r="E7" s="2">
        <v>44314</v>
      </c>
      <c r="F7" s="2">
        <f>realna_poraba_cupra__2[[#This Row],[Števec]]-$E6</f>
        <v>618</v>
      </c>
      <c r="G7" s="3">
        <f xml:space="preserve"> 100 * (realna_poraba_cupra__2[[#This Row],[Litri]]/realna_poraba_cupra__2[[#This Row],[Prevoženo]])</f>
        <v>6.8640776699029127</v>
      </c>
      <c r="H7" s="3">
        <f>realna_poraba_cupra__2[[#This Row],[Poraba]]</f>
        <v>6.8640776699029127</v>
      </c>
      <c r="J7" s="1">
        <v>44985</v>
      </c>
      <c r="K7" s="4">
        <v>1.359</v>
      </c>
    </row>
    <row r="8" spans="2:11" x14ac:dyDescent="0.35">
      <c r="B8" s="1">
        <v>45093</v>
      </c>
      <c r="C8" s="3">
        <v>43.1</v>
      </c>
      <c r="D8" s="3">
        <f>INDEX(Table3[Bencin], MATCH(realna_poraba_cupra__2[[#This Row],[Datum]],Table3[Veljavnost],1)) * realna_poraba_cupra__2[[#This Row],[Litri]]</f>
        <v>60.857199999999999</v>
      </c>
      <c r="E8" s="2">
        <v>44997</v>
      </c>
      <c r="F8" s="2">
        <f>realna_poraba_cupra__2[[#This Row],[Števec]]-$E7</f>
        <v>683</v>
      </c>
      <c r="G8" s="3">
        <f xml:space="preserve"> 100 * (realna_poraba_cupra__2[[#This Row],[Litri]]/realna_poraba_cupra__2[[#This Row],[Prevoženo]])</f>
        <v>6.3103953147877023</v>
      </c>
      <c r="H8" s="3">
        <f>realna_poraba_cupra__2[[#This Row],[Poraba]]</f>
        <v>6.3103953147877023</v>
      </c>
      <c r="J8" s="1">
        <v>44999</v>
      </c>
      <c r="K8" s="4">
        <v>1.3740000000000001</v>
      </c>
    </row>
    <row r="9" spans="2:11" x14ac:dyDescent="0.35">
      <c r="B9" s="1">
        <v>45099</v>
      </c>
      <c r="C9" s="3">
        <v>38.18</v>
      </c>
      <c r="D9" s="3">
        <f>INDEX(Table3[Bencin], MATCH(realna_poraba_cupra__2[[#This Row],[Datum]],Table3[Veljavnost],1)) * realna_poraba_cupra__2[[#This Row],[Litri]]</f>
        <v>54.368319999999997</v>
      </c>
      <c r="E9" s="2">
        <v>45546</v>
      </c>
      <c r="F9" s="2">
        <f>realna_poraba_cupra__2[[#This Row],[Števec]]-$E8</f>
        <v>549</v>
      </c>
      <c r="G9" s="3">
        <f xml:space="preserve"> 100 * (realna_poraba_cupra__2[[#This Row],[Litri]]/realna_poraba_cupra__2[[#This Row],[Prevoženo]])</f>
        <v>6.9544626593806917</v>
      </c>
      <c r="H9" s="3">
        <f>realna_poraba_cupra__2[[#This Row],[Poraba]]</f>
        <v>6.9544626593806917</v>
      </c>
      <c r="J9" s="1">
        <v>45013</v>
      </c>
      <c r="K9" s="4">
        <v>1.3740000000000001</v>
      </c>
    </row>
    <row r="10" spans="2:11" x14ac:dyDescent="0.35">
      <c r="B10" s="1">
        <v>45113</v>
      </c>
      <c r="C10" s="3">
        <v>40.659999999999997</v>
      </c>
      <c r="D10" s="3">
        <f>INDEX(Table3[Bencin], MATCH(realna_poraba_cupra__2[[#This Row],[Datum]],Table3[Veljavnost],1)) * realna_poraba_cupra__2[[#This Row],[Litri]]</f>
        <v>58.713039999999992</v>
      </c>
      <c r="E10" s="2">
        <v>46126</v>
      </c>
      <c r="F10" s="2">
        <f>realna_poraba_cupra__2[[#This Row],[Števec]]-$E9</f>
        <v>580</v>
      </c>
      <c r="G10" s="3">
        <f xml:space="preserve"> 100 * (realna_poraba_cupra__2[[#This Row],[Litri]]/realna_poraba_cupra__2[[#This Row],[Prevoženo]])</f>
        <v>7.0103448275862066</v>
      </c>
      <c r="H10" s="3">
        <f>realna_poraba_cupra__2[[#This Row],[Poraba]]</f>
        <v>7.0103448275862066</v>
      </c>
      <c r="J10" s="1">
        <v>45028</v>
      </c>
      <c r="K10" s="4">
        <v>1.4159999999999999</v>
      </c>
    </row>
    <row r="11" spans="2:11" x14ac:dyDescent="0.35">
      <c r="B11" s="1">
        <v>45122</v>
      </c>
      <c r="C11" s="3">
        <v>39.17</v>
      </c>
      <c r="D11" s="3">
        <f>INDEX(Table3[Bencin], MATCH(realna_poraba_cupra__2[[#This Row],[Datum]],Table3[Veljavnost],1)) * realna_poraba_cupra__2[[#This Row],[Litri]]</f>
        <v>56.561480000000003</v>
      </c>
      <c r="E11" s="2">
        <v>46687</v>
      </c>
      <c r="F11" s="2">
        <f>realna_poraba_cupra__2[[#This Row],[Števec]]-$E10</f>
        <v>561</v>
      </c>
      <c r="G11" s="3">
        <f xml:space="preserve"> 100 * (realna_poraba_cupra__2[[#This Row],[Litri]]/realna_poraba_cupra__2[[#This Row],[Prevoženo]])</f>
        <v>6.9821746880570412</v>
      </c>
      <c r="H11" s="3">
        <f>realna_poraba_cupra__2[[#This Row],[Poraba]]</f>
        <v>6.9821746880570412</v>
      </c>
      <c r="J11" s="1">
        <v>45041</v>
      </c>
      <c r="K11" s="4">
        <v>1.4159999999999999</v>
      </c>
    </row>
    <row r="12" spans="2:11" x14ac:dyDescent="0.35">
      <c r="B12" s="1">
        <v>45129</v>
      </c>
      <c r="C12" s="3">
        <v>40.29</v>
      </c>
      <c r="D12" s="3">
        <f>INDEX(Table3[Bencin], MATCH(realna_poraba_cupra__2[[#This Row],[Datum]],Table3[Veljavnost],1)) * realna_poraba_cupra__2[[#This Row],[Litri]]</f>
        <v>58.662239999999997</v>
      </c>
      <c r="E12" s="2">
        <v>47250</v>
      </c>
      <c r="F12" s="2">
        <f>realna_poraba_cupra__2[[#This Row],[Števec]]-$E11</f>
        <v>563</v>
      </c>
      <c r="G12" s="3">
        <f xml:space="preserve"> 100 * (realna_poraba_cupra__2[[#This Row],[Litri]]/realna_poraba_cupra__2[[#This Row],[Prevoženo]])</f>
        <v>7.1563055062166967</v>
      </c>
      <c r="H12" s="3">
        <f>realna_poraba_cupra__2[[#This Row],[Poraba]]</f>
        <v>7.1563055062166967</v>
      </c>
      <c r="J12" s="1">
        <v>45055</v>
      </c>
      <c r="K12" s="4">
        <v>1.39</v>
      </c>
    </row>
    <row r="13" spans="2:11" x14ac:dyDescent="0.35">
      <c r="B13" s="1">
        <v>45138</v>
      </c>
      <c r="C13" s="3">
        <v>41.01</v>
      </c>
      <c r="D13" s="3">
        <f>INDEX(Table3[Bencin], MATCH(realna_poraba_cupra__2[[#This Row],[Datum]],Table3[Veljavnost],1)) * realna_poraba_cupra__2[[#This Row],[Litri]]</f>
        <v>59.710559999999994</v>
      </c>
      <c r="E13" s="2">
        <v>47867</v>
      </c>
      <c r="F13" s="2">
        <f>realna_poraba_cupra__2[[#This Row],[Števec]]-$E12</f>
        <v>617</v>
      </c>
      <c r="G13" s="3">
        <f xml:space="preserve"> 100 * (realna_poraba_cupra__2[[#This Row],[Litri]]/realna_poraba_cupra__2[[#This Row],[Prevoženo]])</f>
        <v>6.6466774716369521</v>
      </c>
      <c r="H13" s="3">
        <f>realna_poraba_cupra__2[[#This Row],[Poraba]]</f>
        <v>6.6466774716369521</v>
      </c>
      <c r="J13" s="1">
        <v>45069</v>
      </c>
      <c r="K13" s="4">
        <v>1.3819999999999999</v>
      </c>
    </row>
    <row r="14" spans="2:11" x14ac:dyDescent="0.35">
      <c r="B14" s="1">
        <v>45151</v>
      </c>
      <c r="C14" s="3">
        <v>37.18</v>
      </c>
      <c r="D14" s="3">
        <f>INDEX(Table3[Bencin], MATCH(realna_poraba_cupra__2[[#This Row],[Datum]],Table3[Veljavnost],1)) * realna_poraba_cupra__2[[#This Row],[Litri]]</f>
        <v>56.178979999999996</v>
      </c>
      <c r="E14" s="2">
        <v>48407</v>
      </c>
      <c r="F14" s="2">
        <f>realna_poraba_cupra__2[[#This Row],[Števec]]-$E13</f>
        <v>540</v>
      </c>
      <c r="G14" s="3">
        <f xml:space="preserve"> 100 * (realna_poraba_cupra__2[[#This Row],[Litri]]/realna_poraba_cupra__2[[#This Row],[Prevoženo]])</f>
        <v>6.8851851851851844</v>
      </c>
      <c r="H14" s="3">
        <f>realna_poraba_cupra__2[[#This Row],[Poraba]]</f>
        <v>6.8851851851851844</v>
      </c>
      <c r="J14" s="1">
        <v>45083</v>
      </c>
      <c r="K14" s="4">
        <v>1.4119999999999999</v>
      </c>
    </row>
    <row r="15" spans="2:11" x14ac:dyDescent="0.35">
      <c r="B15" s="1">
        <v>45163</v>
      </c>
      <c r="C15" s="3">
        <v>41.46</v>
      </c>
      <c r="D15" s="3">
        <f>INDEX(Table3[Bencin], MATCH(realna_poraba_cupra__2[[#This Row],[Datum]],Table3[Veljavnost],1)) * realna_poraba_cupra__2[[#This Row],[Litri]]</f>
        <v>62.646059999999999</v>
      </c>
      <c r="E15" s="2">
        <v>49005</v>
      </c>
      <c r="F15" s="2">
        <f>realna_poraba_cupra__2[[#This Row],[Števec]]-$E14</f>
        <v>598</v>
      </c>
      <c r="G15" s="3">
        <f xml:space="preserve"> 100 * (realna_poraba_cupra__2[[#This Row],[Litri]]/realna_poraba_cupra__2[[#This Row],[Prevoženo]])</f>
        <v>6.9331103678929766</v>
      </c>
      <c r="H15" s="3">
        <f>realna_poraba_cupra__2[[#This Row],[Poraba]]</f>
        <v>6.9331103678929766</v>
      </c>
      <c r="J15" s="1">
        <v>45097</v>
      </c>
      <c r="K15" s="4">
        <v>1.4239999999999999</v>
      </c>
    </row>
    <row r="16" spans="2:11" x14ac:dyDescent="0.35">
      <c r="B16" s="1">
        <v>45175</v>
      </c>
      <c r="C16" s="3">
        <v>35.97</v>
      </c>
      <c r="D16" s="3">
        <f>INDEX(Table3[Bencin], MATCH(realna_poraba_cupra__2[[#This Row],[Datum]],Table3[Veljavnost],1)) * realna_poraba_cupra__2[[#This Row],[Litri]]</f>
        <v>55.537680000000002</v>
      </c>
      <c r="E16" s="2">
        <v>49480</v>
      </c>
      <c r="F16" s="2">
        <f>realna_poraba_cupra__2[[#This Row],[Števec]]-$E15</f>
        <v>475</v>
      </c>
      <c r="G16" s="3">
        <f xml:space="preserve"> 100 * (realna_poraba_cupra__2[[#This Row],[Litri]]/realna_poraba_cupra__2[[#This Row],[Prevoženo]])</f>
        <v>7.5726315789473686</v>
      </c>
      <c r="H16" s="3">
        <f>realna_poraba_cupra__2[[#This Row],[Poraba]]</f>
        <v>7.5726315789473686</v>
      </c>
      <c r="J16" s="1">
        <v>45111</v>
      </c>
      <c r="K16" s="4">
        <v>1.444</v>
      </c>
    </row>
    <row r="17" spans="2:11" x14ac:dyDescent="0.35">
      <c r="B17" s="1">
        <v>45184</v>
      </c>
      <c r="C17" s="3">
        <v>38.74</v>
      </c>
      <c r="D17" s="3">
        <f>INDEX(Table3[Bencin], MATCH(realna_poraba_cupra__2[[#This Row],[Datum]],Table3[Veljavnost],1)) * realna_poraba_cupra__2[[#This Row],[Litri]]</f>
        <v>60.085740000000001</v>
      </c>
      <c r="E17" s="2">
        <v>50012</v>
      </c>
      <c r="F17" s="2">
        <f>realna_poraba_cupra__2[[#This Row],[Števec]]-$E16</f>
        <v>532</v>
      </c>
      <c r="G17" s="3">
        <f xml:space="preserve"> 100 * (realna_poraba_cupra__2[[#This Row],[Litri]]/realna_poraba_cupra__2[[#This Row],[Prevoženo]])</f>
        <v>7.2819548872180455</v>
      </c>
      <c r="H17" s="3">
        <f>realna_poraba_cupra__2[[#This Row],[Poraba]]</f>
        <v>7.2819548872180455</v>
      </c>
      <c r="J17" s="1">
        <v>45125</v>
      </c>
      <c r="K17" s="4">
        <v>1.456</v>
      </c>
    </row>
    <row r="18" spans="2:11" x14ac:dyDescent="0.35">
      <c r="B18" s="1">
        <v>45191</v>
      </c>
      <c r="C18" s="3">
        <v>36.130000000000003</v>
      </c>
      <c r="D18" s="3">
        <f>INDEX(Table3[Bencin], MATCH(realna_poraba_cupra__2[[#This Row],[Datum]],Table3[Veljavnost],1)) * realna_poraba_cupra__2[[#This Row],[Litri]]</f>
        <v>56.03763</v>
      </c>
      <c r="E18" s="2">
        <v>50458</v>
      </c>
      <c r="F18" s="2">
        <f>realna_poraba_cupra__2[[#This Row],[Števec]]-$E17</f>
        <v>446</v>
      </c>
      <c r="G18" s="3">
        <f xml:space="preserve"> 100 * (realna_poraba_cupra__2[[#This Row],[Litri]]/realna_poraba_cupra__2[[#This Row],[Prevoženo]])</f>
        <v>8.1008968609865484</v>
      </c>
      <c r="H18" s="3">
        <f>realna_poraba_cupra__2[[#This Row],[Poraba]]</f>
        <v>8.1008968609865484</v>
      </c>
      <c r="J18" s="1">
        <v>45139</v>
      </c>
      <c r="K18" s="4">
        <v>1.5109999999999999</v>
      </c>
    </row>
    <row r="19" spans="2:11" x14ac:dyDescent="0.35">
      <c r="B19" s="1">
        <v>45198</v>
      </c>
      <c r="C19" s="3">
        <v>38.51</v>
      </c>
      <c r="D19" s="3">
        <f>INDEX(Table3[Bencin], MATCH(realna_poraba_cupra__2[[#This Row],[Datum]],Table3[Veljavnost],1)) * realna_poraba_cupra__2[[#This Row],[Litri]]</f>
        <v>61.153880000000001</v>
      </c>
      <c r="E19" s="2">
        <v>50991</v>
      </c>
      <c r="F19" s="2">
        <f>realna_poraba_cupra__2[[#This Row],[Števec]]-$E18</f>
        <v>533</v>
      </c>
      <c r="G19" s="3">
        <f xml:space="preserve"> 100 * (realna_poraba_cupra__2[[#This Row],[Litri]]/realna_poraba_cupra__2[[#This Row],[Prevoženo]])</f>
        <v>7.2251407129455911</v>
      </c>
      <c r="H19" s="3">
        <f>realna_poraba_cupra__2[[#This Row],[Poraba]]</f>
        <v>7.2251407129455911</v>
      </c>
      <c r="J19" s="1">
        <v>45155</v>
      </c>
      <c r="K19" s="4">
        <v>1.5109999999999999</v>
      </c>
    </row>
    <row r="20" spans="2:11" x14ac:dyDescent="0.35">
      <c r="B20" s="1">
        <v>45205</v>
      </c>
      <c r="C20" s="3">
        <v>38.840000000000003</v>
      </c>
      <c r="D20" s="3">
        <f>INDEX(Table3[Bencin], MATCH(realna_poraba_cupra__2[[#This Row],[Datum]],Table3[Veljavnost],1)) * realna_poraba_cupra__2[[#This Row],[Litri]]</f>
        <v>61.677920000000007</v>
      </c>
      <c r="E20" s="2">
        <v>51593</v>
      </c>
      <c r="F20" s="2">
        <f>realna_poraba_cupra__2[[#This Row],[Števec]]-$E19</f>
        <v>602</v>
      </c>
      <c r="G20" s="3">
        <f xml:space="preserve"> 100 * (realna_poraba_cupra__2[[#This Row],[Litri]]/realna_poraba_cupra__2[[#This Row],[Prevoženo]])</f>
        <v>6.4518272425249172</v>
      </c>
      <c r="H20" s="3">
        <f>realna_poraba_cupra__2[[#This Row],[Poraba]]</f>
        <v>6.4518272425249172</v>
      </c>
      <c r="J20" s="1">
        <v>45167</v>
      </c>
      <c r="K20" s="4">
        <v>1.544</v>
      </c>
    </row>
    <row r="21" spans="2:11" x14ac:dyDescent="0.35">
      <c r="B21" s="1">
        <v>45213</v>
      </c>
      <c r="C21" s="3">
        <v>41.73</v>
      </c>
      <c r="D21" s="3">
        <f>INDEX(Table3[Bencin], MATCH(realna_poraba_cupra__2[[#This Row],[Datum]],Table3[Veljavnost],1)) * realna_poraba_cupra__2[[#This Row],[Litri]]</f>
        <v>64.097279999999998</v>
      </c>
      <c r="E21" s="2">
        <v>52176</v>
      </c>
      <c r="F21" s="2">
        <f>realna_poraba_cupra__2[[#This Row],[Števec]]-$E20</f>
        <v>583</v>
      </c>
      <c r="G21" s="3">
        <f xml:space="preserve"> 100 * (realna_poraba_cupra__2[[#This Row],[Litri]]/realna_poraba_cupra__2[[#This Row],[Prevoženo]])</f>
        <v>7.1578044596912509</v>
      </c>
      <c r="H21" s="3">
        <f>realna_poraba_cupra__2[[#This Row],[Poraba]]</f>
        <v>7.1578044596912509</v>
      </c>
      <c r="J21" s="1">
        <v>45181</v>
      </c>
      <c r="K21" s="4">
        <v>1.5509999999999999</v>
      </c>
    </row>
    <row r="22" spans="2:11" x14ac:dyDescent="0.35">
      <c r="B22" s="1"/>
      <c r="C22" s="3" t="s">
        <v>10</v>
      </c>
      <c r="D22" s="3"/>
      <c r="E22" s="6"/>
      <c r="F22" s="6"/>
      <c r="G22" s="6"/>
      <c r="H22" s="7">
        <f>realna_poraba_cupra__2[[#This Row],[Poraba]]</f>
        <v>0</v>
      </c>
      <c r="J22" s="1">
        <v>45195</v>
      </c>
      <c r="K22" s="4">
        <v>1.5880000000000001</v>
      </c>
    </row>
    <row r="23" spans="2:11" x14ac:dyDescent="0.35">
      <c r="B23" t="s">
        <v>17</v>
      </c>
      <c r="C23" t="s">
        <v>11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J23" s="1">
        <v>45209</v>
      </c>
      <c r="K23" s="4">
        <v>1.536</v>
      </c>
    </row>
    <row r="24" spans="2:11" x14ac:dyDescent="0.35">
      <c r="B24" t="s">
        <v>18</v>
      </c>
      <c r="C24" s="2">
        <f>SUM(F4:F6)</f>
        <v>1789</v>
      </c>
      <c r="D24" s="2">
        <f>SUM(F7:F9)</f>
        <v>1850</v>
      </c>
      <c r="E24" s="2">
        <f>SUM(F10:F13)</f>
        <v>2321</v>
      </c>
      <c r="F24" s="2">
        <f>SUM(F14:F15)</f>
        <v>1138</v>
      </c>
      <c r="G24" s="2">
        <f>SUM(F16:F19)</f>
        <v>1986</v>
      </c>
      <c r="H24" s="2">
        <f>SUM(F20:F21)</f>
        <v>1185</v>
      </c>
      <c r="J24" s="1">
        <v>45223</v>
      </c>
      <c r="K24" s="4">
        <v>1.536</v>
      </c>
    </row>
    <row r="25" spans="2:11" x14ac:dyDescent="0.35">
      <c r="B25" t="s">
        <v>19</v>
      </c>
      <c r="C25" s="3">
        <f>AVERAGE(G4:G6)</f>
        <v>6.643286586493633</v>
      </c>
      <c r="D25" s="3">
        <f>AVERAGE(G7:G9)</f>
        <v>6.7096452146904353</v>
      </c>
      <c r="E25" s="3">
        <f>AVERAGE(G10:G13)</f>
        <v>6.9488756233742244</v>
      </c>
      <c r="F25" s="3">
        <f>AVERAGE(G14:G15)</f>
        <v>6.909147776539081</v>
      </c>
      <c r="G25" s="3">
        <f>AVERAGE(G16:G19)</f>
        <v>7.5451560100243888</v>
      </c>
      <c r="H25" s="3">
        <f>AVERAGE(G20:G21)</f>
        <v>6.8048158511080841</v>
      </c>
      <c r="J25" s="1">
        <v>45237</v>
      </c>
      <c r="K25" s="4">
        <v>1.534</v>
      </c>
    </row>
    <row r="26" spans="2:11" x14ac:dyDescent="0.35">
      <c r="D26" s="5"/>
      <c r="E26" s="5"/>
    </row>
    <row r="27" spans="2:11" x14ac:dyDescent="0.35">
      <c r="D27" s="5"/>
      <c r="E27" s="5"/>
    </row>
    <row r="28" spans="2:11" x14ac:dyDescent="0.35">
      <c r="D28" s="5"/>
      <c r="E28" s="5"/>
    </row>
    <row r="29" spans="2:11" x14ac:dyDescent="0.35">
      <c r="D29" s="5"/>
      <c r="E29" s="5"/>
    </row>
  </sheetData>
  <conditionalFormatting sqref="H4:H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{4C9D1EBE-6B20-4536-8DC6-730D9BA9C41B}</x14:id>
        </ext>
      </extLst>
    </cfRule>
    <cfRule type="dataBar" priority="1">
      <dataBar>
        <cfvo type="num" val="6"/>
        <cfvo type="num" val="9"/>
        <color rgb="FF638EC6"/>
      </dataBar>
      <extLst>
        <ext xmlns:x14="http://schemas.microsoft.com/office/spreadsheetml/2009/9/main" uri="{B025F937-C7B1-47D3-B67F-A62EFF666E3E}">
          <x14:id>{33139564-7A62-4864-A296-4E3BEFB3CF2C}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9D1EBE-6B20-4536-8DC6-730D9BA9C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139564-7A62-4864-A296-4E3BEFB3CF2C}">
            <x14:dataBar minLength="0" maxLength="100" gradient="0">
              <x14:cfvo type="num">
                <xm:f>6</xm:f>
              </x14:cfvo>
              <x14:cfvo type="num">
                <xm:f>9</xm:f>
              </x14:cfvo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Hrovat, Jan</cp:lastModifiedBy>
  <dcterms:created xsi:type="dcterms:W3CDTF">2007-10-01T06:54:22Z</dcterms:created>
  <dcterms:modified xsi:type="dcterms:W3CDTF">2025-11-20T18:45:35Z</dcterms:modified>
</cp:coreProperties>
</file>